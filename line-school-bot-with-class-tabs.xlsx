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acher_summary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teacher_classes" sheetId="3" state="visible" r:id="rId3"/>
    <sheet xmlns:r="http://schemas.openxmlformats.org/officeDocument/2006/relationships" name="questions" sheetId="4" state="visible" r:id="rId4"/>
    <sheet xmlns:r="http://schemas.openxmlformats.org/officeDocument/2006/relationships" name="submissions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nnouncements" sheetId="7" state="visible" r:id="rId7"/>
    <sheet xmlns:r="http://schemas.openxmlformats.org/officeDocument/2006/relationships" name="ห้อง_40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Arial"/>
      <color rgb="FF000000"/>
      <sz val="10"/>
      <scheme val="minor"/>
    </font>
    <font>
      <name val="Arial"/>
      <color theme="1"/>
      <scheme val="minor"/>
    </font>
    <font>
      <b val="1"/>
      <sz val="16"/>
    </font>
    <font>
      <b val="1"/>
    </font>
    <font>
      <color rgb="000563C1"/>
      <u val="single"/>
    </font>
  </fonts>
  <fills count="7">
    <fill>
      <patternFill/>
    </fill>
    <fill>
      <patternFill patternType="lightGray"/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/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164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0" fillId="5" borderId="1" pivotButton="0" quotePrefix="0" xfId="0"/>
    <xf numFmtId="0" fontId="0" fillId="2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4" min="1" max="1"/>
    <col width="16" customWidth="1" style="4" min="2" max="2"/>
    <col width="14" customWidth="1" style="4" min="3" max="3"/>
    <col width="16" customWidth="1" style="4" min="4" max="4"/>
    <col width="14" customWidth="1" style="4" min="5" max="5"/>
    <col width="14" customWidth="1" style="4" min="6" max="6"/>
    <col width="14" customWidth="1" style="4" min="7" max="7"/>
  </cols>
  <sheetData>
    <row r="1">
      <c r="A1" s="5" t="inlineStr">
        <is>
          <t>สรุปภาพรวมครู</t>
        </is>
      </c>
    </row>
    <row r="3">
      <c r="A3" s="6" t="inlineStr">
        <is>
          <t>ห้อง</t>
        </is>
      </c>
      <c r="B3" s="6" t="inlineStr">
        <is>
          <t>จำนวนนักเรียน</t>
        </is>
      </c>
      <c r="C3" s="6" t="inlineStr">
        <is>
          <t>จำนวนงาน</t>
        </is>
      </c>
      <c r="D3" s="6" t="inlineStr">
        <is>
          <t>ส่งครบทั้งหมด</t>
        </is>
      </c>
      <c r="E3" s="6" t="inlineStr">
        <is>
          <t>ยังไม่ครบ</t>
        </is>
      </c>
      <c r="F3" s="6" t="inlineStr">
        <is>
          <t>คำถามค้าง</t>
        </is>
      </c>
      <c r="G3" s="6" t="inlineStr">
        <is>
          <t>แท็บห้อง</t>
        </is>
      </c>
    </row>
    <row r="4">
      <c r="A4" s="7" t="inlineStr">
        <is>
          <t>401</t>
        </is>
      </c>
      <c r="B4" s="7">
        <f>COUNTIF(users!E:E,"401")</f>
        <v/>
      </c>
      <c r="C4" s="7">
        <f>COUNTIF(assignments!B:B,"401")</f>
        <v/>
      </c>
      <c r="D4" s="7">
        <f>COUNTIF('ห้อง_401'!D4:I100,"ส่งแล้ว")</f>
        <v/>
      </c>
      <c r="E4" s="7">
        <f>COUNTIF('ห้อง_401'!D4:I100,"ยังไม่ส่ง")</f>
        <v/>
      </c>
      <c r="F4" s="7">
        <f>COUNTIFS(questions!E:E,"401",questions!G:G,"pending")</f>
        <v/>
      </c>
      <c r="G4" s="8">
        <f>HYPERLINK("#ห้อง_401!A1","เปิดแท็บ")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4"/>
  <sheetViews>
    <sheetView workbookViewId="0">
      <selection activeCell="A1" sqref="A1"/>
    </sheetView>
  </sheetViews>
  <sheetFormatPr baseColWidth="8" defaultColWidth="12.63" defaultRowHeight="15.75" customHeight="1"/>
  <cols>
    <col width="34.38" customWidth="1" style="4" min="2" max="2"/>
  </cols>
  <sheetData>
    <row r="1">
      <c r="A1" s="1" t="inlineStr">
        <is>
          <t>timestamp</t>
        </is>
      </c>
      <c r="B1" s="1" t="inlineStr">
        <is>
          <t>line_user_id</t>
        </is>
      </c>
      <c r="C1" s="1" t="inlineStr">
        <is>
          <t>full_name</t>
        </is>
      </c>
      <c r="D1" s="1" t="inlineStr">
        <is>
          <t>student_code</t>
        </is>
      </c>
      <c r="E1" s="1" t="inlineStr">
        <is>
          <t>classroom</t>
        </is>
      </c>
      <c r="F1" s="1" t="inlineStr">
        <is>
          <t>role</t>
        </is>
      </c>
    </row>
    <row r="2">
      <c r="A2" s="2" t="inlineStr">
        <is>
          <t>2026-05-16 16:32:51</t>
        </is>
      </c>
      <c r="B2" s="1" t="inlineStr">
        <is>
          <t>TEST_LINE_ID</t>
        </is>
      </c>
      <c r="C2" s="1" t="inlineStr">
        <is>
          <t>ทดสอบ ระบบ</t>
        </is>
      </c>
      <c r="D2" s="2" t="inlineStr">
        <is>
          <t>1</t>
        </is>
      </c>
      <c r="E2" s="2" t="inlineStr">
        <is>
          <t>401</t>
        </is>
      </c>
      <c r="F2" s="1" t="inlineStr">
        <is>
          <t>student</t>
        </is>
      </c>
    </row>
    <row r="3">
      <c r="A3" s="3" t="n">
        <v>46158.69043981482</v>
      </c>
      <c r="B3" s="1" t="inlineStr">
        <is>
          <t>TEST_MODULE_ID</t>
        </is>
      </c>
      <c r="C3" s="1" t="inlineStr">
        <is>
          <t>ทดสอบ โมดูล</t>
        </is>
      </c>
      <c r="D3" s="1" t="n">
        <v>2</v>
      </c>
      <c r="E3" s="1" t="n">
        <v>401</v>
      </c>
      <c r="F3" s="1" t="inlineStr">
        <is>
          <t>student</t>
        </is>
      </c>
    </row>
    <row r="4">
      <c r="A4" s="2" t="inlineStr">
        <is>
          <t>2026-05-16 16:16:45</t>
        </is>
      </c>
      <c r="B4" s="1" t="inlineStr">
        <is>
          <t>Ubef6eeb912ec1f4d1bb49fa46ea6dd67</t>
        </is>
      </c>
      <c r="C4" s="1" t="inlineStr">
        <is>
          <t>มาดี มีทอง</t>
        </is>
      </c>
      <c r="D4" s="2" t="inlineStr">
        <is>
          <t>2</t>
        </is>
      </c>
      <c r="E4" s="2" t="inlineStr">
        <is>
          <t>401</t>
        </is>
      </c>
      <c r="F4" s="1" t="inlineStr">
        <is>
          <t>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4" min="2" max="2"/>
  </cols>
  <sheetData>
    <row r="1">
      <c r="A1" s="1" t="inlineStr">
        <is>
          <t>timestamp</t>
        </is>
      </c>
      <c r="B1" s="1" t="inlineStr">
        <is>
          <t>teacher_line_user_id</t>
        </is>
      </c>
      <c r="C1" s="1" t="inlineStr">
        <is>
          <t>teacher_name</t>
        </is>
      </c>
      <c r="D1" s="1" t="inlineStr">
        <is>
          <t>classroom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4" min="1" max="1"/>
    <col width="22.25" customWidth="1" style="4" min="2" max="2"/>
    <col width="19.13" customWidth="1" style="4" min="3" max="3"/>
    <col width="17.38" customWidth="1" style="4" min="4" max="4"/>
    <col width="16.88" customWidth="1" style="4" min="5" max="5"/>
    <col width="15.75" customWidth="1" style="4" min="6" max="6"/>
    <col width="14.75" customWidth="1" style="4" min="7" max="7"/>
    <col width="14.38" customWidth="1" style="4" min="8" max="8"/>
    <col width="14.5" customWidth="1" style="4" min="9" max="9"/>
  </cols>
  <sheetData>
    <row r="1">
      <c r="A1" s="1" t="inlineStr">
        <is>
          <t>question_id</t>
        </is>
      </c>
      <c r="B1" s="1" t="inlineStr">
        <is>
          <t>created_at</t>
        </is>
      </c>
      <c r="C1" s="1" t="inlineStr">
        <is>
          <t>student_line_user_id</t>
        </is>
      </c>
      <c r="D1" s="1" t="inlineStr">
        <is>
          <t>student_name</t>
        </is>
      </c>
      <c r="E1" s="1" t="inlineStr">
        <is>
          <t>classroom</t>
        </is>
      </c>
      <c r="F1" s="1" t="inlineStr">
        <is>
          <t>question_text</t>
        </is>
      </c>
      <c r="G1" s="1" t="inlineStr">
        <is>
          <t>status</t>
        </is>
      </c>
      <c r="H1" s="1" t="inlineStr">
        <is>
          <t>answer_text</t>
        </is>
      </c>
      <c r="I1" s="1" t="inlineStr">
        <is>
          <t>answered_at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4" min="8" max="8"/>
    <col width="18.63" customWidth="1" style="4" min="9" max="9"/>
  </cols>
  <sheetData>
    <row r="1">
      <c r="A1" s="1" t="inlineStr">
        <is>
          <t>timestamp</t>
        </is>
      </c>
      <c r="B1" s="1" t="inlineStr">
        <is>
          <t>line_user_id</t>
        </is>
      </c>
      <c r="C1" s="1" t="inlineStr">
        <is>
          <t>full_name</t>
        </is>
      </c>
      <c r="D1" s="1" t="inlineStr">
        <is>
          <t>student_code</t>
        </is>
      </c>
      <c r="E1" s="1" t="inlineStr">
        <is>
          <t>classroom</t>
        </is>
      </c>
      <c r="F1" s="1" t="inlineStr">
        <is>
          <t>homework_title</t>
        </is>
      </c>
      <c r="G1" s="1" t="inlineStr">
        <is>
          <t>message_type</t>
        </is>
      </c>
      <c r="H1" s="1" t="inlineStr">
        <is>
          <t>line_message_id</t>
        </is>
      </c>
      <c r="I1" s="1" t="inlineStr">
        <is>
          <t>file_name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assignment_id</t>
        </is>
      </c>
      <c r="B1" s="1" t="inlineStr">
        <is>
          <t>classroom</t>
        </is>
      </c>
      <c r="C1" s="1" t="inlineStr">
        <is>
          <t>title</t>
        </is>
      </c>
      <c r="D1" s="1" t="inlineStr">
        <is>
          <t>due_date</t>
        </is>
      </c>
      <c r="E1" s="1" t="inlineStr">
        <is>
          <t>max_score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C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created_at</t>
        </is>
      </c>
      <c r="B1" s="1" t="inlineStr">
        <is>
          <t>title</t>
        </is>
      </c>
      <c r="C1" s="1" t="inlineStr">
        <is>
          <t>body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4" min="1" max="1"/>
    <col width="10" customWidth="1" style="4" min="2" max="2"/>
    <col width="28" customWidth="1" style="4" min="3" max="3"/>
    <col width="13" customWidth="1" style="4" min="4" max="4"/>
    <col width="13" customWidth="1" style="4" min="5" max="5"/>
    <col width="10" customWidth="1" style="4" min="6" max="6"/>
    <col width="13" customWidth="1" style="4" min="7" max="7"/>
    <col width="13" customWidth="1" style="4" min="8" max="8"/>
    <col width="10" customWidth="1" style="4" min="9" max="9"/>
    <col width="12" customWidth="1" style="4" min="10" max="10"/>
  </cols>
  <sheetData>
    <row r="1" ht="24" customHeight="1" s="4">
      <c r="A1" s="9" t="inlineStr">
        <is>
          <t>สรุปงานห้อง 401</t>
        </is>
      </c>
    </row>
    <row r="2" ht="24" customHeight="1" s="4">
      <c r="D2" s="10" t="inlineStr">
        <is>
          <t>1</t>
        </is>
      </c>
      <c r="E2" s="11" t="n"/>
      <c r="F2" s="11" t="n"/>
      <c r="G2" s="6" t="inlineStr">
        <is>
          <t>2</t>
        </is>
      </c>
      <c r="H2" s="12" t="n"/>
      <c r="I2" s="12" t="n"/>
    </row>
    <row r="3" ht="24" customHeight="1" s="4">
      <c r="A3" s="13" t="inlineStr">
        <is>
          <t>ชื่อ</t>
        </is>
      </c>
      <c r="B3" s="13" t="inlineStr">
        <is>
          <t>เลขที่</t>
        </is>
      </c>
      <c r="C3" s="13" t="inlineStr">
        <is>
          <t>ID Line</t>
        </is>
      </c>
      <c r="D3" s="10" t="inlineStr">
        <is>
          <t>ครบเวลา</t>
        </is>
      </c>
      <c r="E3" s="10" t="inlineStr">
        <is>
          <t>เลยกำหนด</t>
        </is>
      </c>
      <c r="F3" s="10" t="inlineStr">
        <is>
          <t>คะแนน</t>
        </is>
      </c>
      <c r="G3" s="6" t="inlineStr">
        <is>
          <t>ครบเวลา</t>
        </is>
      </c>
      <c r="H3" s="6" t="inlineStr">
        <is>
          <t>เลยกำหนด</t>
        </is>
      </c>
      <c r="I3" s="6" t="inlineStr">
        <is>
          <t>คะแนน</t>
        </is>
      </c>
    </row>
    <row r="4" ht="24" customHeight="1" s="4">
      <c r="A4" s="14" t="inlineStr">
        <is>
          <t>ทดสอบ ระบบ</t>
        </is>
      </c>
      <c r="B4" s="15" t="inlineStr">
        <is>
          <t>1</t>
        </is>
      </c>
      <c r="C4" s="15" t="inlineStr">
        <is>
          <t>TEST_LINE_ID</t>
        </is>
      </c>
      <c r="D4" s="15" t="n"/>
      <c r="E4" s="15" t="n"/>
      <c r="F4" s="15" t="n"/>
      <c r="G4" s="15" t="n"/>
      <c r="H4" s="15" t="n"/>
      <c r="I4" s="15" t="n"/>
    </row>
    <row r="5" ht="24" customHeight="1" s="4">
      <c r="A5" s="14" t="inlineStr">
        <is>
          <t>ทดสอบ โมดูล</t>
        </is>
      </c>
      <c r="B5" s="15" t="n">
        <v>2</v>
      </c>
      <c r="C5" s="15" t="inlineStr">
        <is>
          <t>TEST_MODULE_ID</t>
        </is>
      </c>
      <c r="D5" s="15" t="n"/>
      <c r="E5" s="15" t="n"/>
      <c r="F5" s="15" t="n"/>
      <c r="G5" s="15" t="n"/>
      <c r="H5" s="15" t="n"/>
      <c r="I5" s="15" t="n"/>
    </row>
    <row r="6" ht="24" customHeight="1" s="4">
      <c r="A6" s="14" t="inlineStr">
        <is>
          <t>มาดี มีทอง</t>
        </is>
      </c>
      <c r="B6" s="15" t="inlineStr">
        <is>
          <t>2</t>
        </is>
      </c>
      <c r="C6" s="15" t="inlineStr">
        <is>
          <t>Ubef6eeb912ec1f4d1bb49fa46ea6dd67</t>
        </is>
      </c>
      <c r="D6" s="15" t="n"/>
      <c r="E6" s="15" t="n"/>
      <c r="F6" s="15" t="n"/>
      <c r="G6" s="15" t="n"/>
      <c r="H6" s="15" t="n"/>
      <c r="I6" s="15" t="n"/>
    </row>
    <row r="7" ht="24" customHeight="1" s="4">
      <c r="A7" s="14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 ht="24" customHeight="1" s="4">
      <c r="A8" s="14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24" customHeight="1" s="4">
      <c r="A9" s="14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 ht="24" customHeight="1" s="4">
      <c r="A10" s="14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24" customHeight="1" s="4">
      <c r="A11" s="14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 ht="24" customHeight="1" s="4">
      <c r="A12" s="14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24" customHeight="1" s="4">
      <c r="A13" s="14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 ht="24" customHeight="1" s="4">
      <c r="A14" s="14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6">
      <c r="A16" s="16" t="inlineStr">
        <is>
          <t>หมายเหตุ: ช่องครบเวลา/เลยกำหนดเลือก ส่งแล้ว หรือ ยังไม่ส่ง ได้</t>
        </is>
      </c>
    </row>
  </sheetData>
  <mergeCells count="4">
    <mergeCell ref="D2:F2"/>
    <mergeCell ref="A1:J1"/>
    <mergeCell ref="G2:I2"/>
    <mergeCell ref="A16:J16"/>
  </mergeCells>
  <dataValidations count="1">
    <dataValidation sqref="D4:D100 E4:E100 G4:G100 H4:H100" showDropDown="0" showInputMessage="0" showErrorMessage="0" allowBlank="1" type="list">
      <formula1>"ส่งแล้ว,ยังไม่ส่ง"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2026-05-17T07:46:04Z</dcterms:created>
  <dcterms:modified xmlns:dcterms="http://purl.org/dc/terms/" xmlns:xsi="http://www.w3.org/2001/XMLSchema-instance" xsi:type="dcterms:W3CDTF">2026-05-17T07:46:04Z</dcterms:modified>
</cp:coreProperties>
</file>